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1 - Restock URGENT" sheetId="2" state="visible" r:id="rId2"/>
    <sheet name="2 - New colourways" sheetId="3" state="visible" r:id="rId3"/>
    <sheet name="3 - Size breakdown" sheetId="4" state="visible" r:id="rId4"/>
    <sheet name="4 - Colourway spe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b val="1"/>
      <color rgb="001F2A44"/>
      <sz val="14"/>
    </font>
    <font>
      <i val="1"/>
      <sz val="10"/>
    </font>
    <font>
      <b val="1"/>
      <sz val="10"/>
    </font>
    <font>
      <b val="1"/>
      <sz val="11"/>
    </font>
    <font>
      <i val="1"/>
      <sz val="9"/>
    </font>
    <font>
      <b val="1"/>
      <color rgb="001F2A44"/>
      <sz val="11"/>
    </font>
    <font>
      <b val="1"/>
      <color rgb="00FFFFFF"/>
      <sz val="10"/>
    </font>
    <font>
      <b val="1"/>
      <color rgb="00C0392B"/>
    </font>
    <font>
      <b val="1"/>
    </font>
    <font>
      <sz val="10"/>
    </font>
    <font>
      <sz val="9"/>
    </font>
    <font>
      <b val="1"/>
      <color rgb="001F2A44"/>
      <sz val="10"/>
    </font>
    <font>
      <color rgb="00000000"/>
      <sz val="10"/>
    </font>
  </fonts>
  <fills count="1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EF1F5"/>
      </patternFill>
    </fill>
    <fill>
      <patternFill patternType="solid">
        <fgColor rgb="001F2A44"/>
      </patternFill>
    </fill>
    <fill>
      <patternFill patternType="solid">
        <fgColor rgb="00FDE9E7"/>
      </patternFill>
    </fill>
    <fill>
      <patternFill patternType="solid">
        <fgColor rgb="008E9094"/>
      </patternFill>
    </fill>
    <fill>
      <patternFill patternType="solid">
        <fgColor rgb="009A9A9A"/>
      </patternFill>
    </fill>
    <fill>
      <patternFill patternType="solid">
        <fgColor rgb="004A342A"/>
      </patternFill>
    </fill>
    <fill>
      <patternFill patternType="solid">
        <fgColor rgb="00B0603C"/>
      </patternFill>
    </fill>
    <fill>
      <patternFill patternType="solid">
        <fgColor rgb="006E2233"/>
      </patternFill>
    </fill>
    <fill>
      <patternFill patternType="solid">
        <fgColor rgb="00C1272D"/>
      </patternFill>
    </fill>
    <fill>
      <patternFill patternType="solid">
        <fgColor rgb="00EDE3D2"/>
      </patternFill>
    </fill>
    <fill>
      <patternFill patternType="solid">
        <fgColor rgb="002C4A3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pivotButton="0" quotePrefix="0" xfId="0">
      <alignment horizontal="center"/>
    </xf>
    <xf numFmtId="3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/>
    </xf>
    <xf numFmtId="0" fontId="3" fillId="0" borderId="1" pivotButton="0" quotePrefix="0" xfId="0"/>
    <xf numFmtId="9" fontId="0" fillId="0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9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3" borderId="1" pivotButton="0" quotePrefix="0" xfId="0"/>
    <xf numFmtId="3" fontId="9" fillId="3" borderId="1" applyAlignment="1" pivotButton="0" quotePrefix="0" xfId="0">
      <alignment horizontal="center"/>
    </xf>
    <xf numFmtId="0" fontId="10" fillId="0" borderId="0" applyAlignment="1" pivotButton="0" quotePrefix="0" xfId="0">
      <alignment wrapText="1"/>
    </xf>
    <xf numFmtId="0" fontId="10" fillId="0" borderId="1" pivotButton="0" quotePrefix="0" xfId="0"/>
    <xf numFmtId="0" fontId="7" fillId="4" borderId="1" applyAlignment="1" pivotButton="0" quotePrefix="0" xfId="0">
      <alignment horizontal="center"/>
    </xf>
    <xf numFmtId="0" fontId="11" fillId="0" borderId="1" pivotButton="0" quotePrefix="0" xfId="0"/>
    <xf numFmtId="0" fontId="7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0" fontId="7" fillId="10" borderId="1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3" borderId="1" applyAlignment="1" pivotButton="0" quotePrefix="0" xfId="0">
      <alignment horizontal="center"/>
    </xf>
    <xf numFmtId="0" fontId="4" fillId="0" borderId="0" pivotButton="0" quotePrefix="0" xfId="0"/>
    <xf numFmtId="0" fontId="12" fillId="3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NIMBAO - CLOUD SLIPPERS - AW26 BUY PLAN</t>
        </is>
      </c>
    </row>
    <row r="2">
      <c r="A2" s="2" t="inlineStr">
        <is>
          <t>Change the three yellow cells below and every quantity in this workbook recalculates.</t>
        </is>
      </c>
    </row>
    <row r="4">
      <c r="A4" s="3" t="inlineStr">
        <is>
          <t>Run rate (pairs / day)</t>
        </is>
      </c>
      <c r="B4" s="4" t="n">
        <v>450</v>
      </c>
      <c r="C4" s="5" t="inlineStr">
        <is>
          <t>Last 3 full days: 389 / 441 / 490. Still climbing. Set this to the rate your ad spend will hold.</t>
        </is>
      </c>
    </row>
    <row r="5">
      <c r="A5" s="3" t="inlineStr">
        <is>
          <t>Days of cover (wave 1)</t>
        </is>
      </c>
      <c r="B5" s="4" t="n">
        <v>45</v>
      </c>
      <c r="C5" s="5" t="inlineStr">
        <is>
          <t>Delivery ~1 Oct -&gt; covers to ~15 Nov, i.e. up to the Black Friday restock.</t>
        </is>
      </c>
    </row>
    <row r="6">
      <c r="A6" s="3" t="inlineStr">
        <is>
          <t>Share taken by the 9 new colours</t>
        </is>
      </c>
      <c r="B6" s="6" t="n">
        <v>0.4</v>
      </c>
      <c r="C6" s="5" t="inlineStr">
        <is>
          <t>New colourways typically take a large share because they carry the fresh ad creative.</t>
        </is>
      </c>
    </row>
    <row r="7">
      <c r="A7" s="3" t="inlineStr">
        <is>
          <t>Total pairs, wave 1</t>
        </is>
      </c>
      <c r="B7" s="7">
        <f>B4*B5</f>
        <v/>
      </c>
      <c r="C7" s="5">
        <f> run rate x days of cover</f>
        <v/>
      </c>
    </row>
    <row r="9">
      <c r="A9" s="8" t="inlineStr">
        <is>
          <t>SIZE CURVE - built on 2,498 pairs actually sold on this exact style</t>
        </is>
      </c>
    </row>
    <row r="10" ht="42" customHeight="1">
      <c r="A10" s="9" t="inlineStr">
        <is>
          <t>Size</t>
        </is>
      </c>
      <c r="B10" s="9" t="inlineStr">
        <is>
          <t>US W5 / M3</t>
        </is>
      </c>
      <c r="C10" s="9" t="inlineStr">
        <is>
          <t>US W6 / M4</t>
        </is>
      </c>
      <c r="D10" s="9" t="inlineStr">
        <is>
          <t>US W7 / M5</t>
        </is>
      </c>
      <c r="E10" s="9" t="inlineStr">
        <is>
          <t>US W7.5 / M5.5</t>
        </is>
      </c>
      <c r="F10" s="9" t="inlineStr">
        <is>
          <t>US W8-8.5 / M6-6.5</t>
        </is>
      </c>
      <c r="G10" s="9" t="inlineStr">
        <is>
          <t>US W9-9.5 / M7-7.5</t>
        </is>
      </c>
      <c r="H10" s="9" t="inlineStr">
        <is>
          <t>US W10-10.5 / M8-8.5</t>
        </is>
      </c>
      <c r="I10" s="9" t="inlineStr">
        <is>
          <t>US W11-11.5 / M9-9.5</t>
        </is>
      </c>
      <c r="J10" s="9" t="inlineStr">
        <is>
          <t>US W12-12.5 / M10-10.5</t>
        </is>
      </c>
      <c r="K10" s="9" t="inlineStr">
        <is>
          <t>US W13-13.5 / M11-11.5</t>
        </is>
      </c>
      <c r="L10" s="9" t="inlineStr">
        <is>
          <t>US W14 / M12</t>
        </is>
      </c>
    </row>
    <row r="11">
      <c r="A11" s="3" t="inlineStr">
        <is>
          <t>Share</t>
        </is>
      </c>
      <c r="B11" s="10" t="n">
        <v>0.033</v>
      </c>
      <c r="C11" s="10" t="n">
        <v>0.031</v>
      </c>
      <c r="D11" s="10" t="n">
        <v>0.076</v>
      </c>
      <c r="E11" s="10" t="n">
        <v>0.08699999999999999</v>
      </c>
      <c r="F11" s="10" t="n">
        <v>0.223</v>
      </c>
      <c r="G11" s="10" t="n">
        <v>0.218</v>
      </c>
      <c r="H11" s="10" t="n">
        <v>0.151</v>
      </c>
      <c r="I11" s="10" t="n">
        <v>0.08400000000000001</v>
      </c>
      <c r="J11" s="10" t="n">
        <v>0.052</v>
      </c>
      <c r="K11" s="10" t="n">
        <v>0.021</v>
      </c>
      <c r="L11" s="10" t="n">
        <v>0.023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24" customWidth="1" min="4" max="4"/>
    <col width="14" customWidth="1" min="5" max="5"/>
  </cols>
  <sheetData>
    <row r="1">
      <c r="A1" s="1" t="inlineStr">
        <is>
          <t>RESTOCK OF THE 8 COLOURS ALREADY IN PRODUCTION</t>
        </is>
      </c>
    </row>
    <row r="2">
      <c r="A2" s="2" t="inlineStr">
        <is>
          <t>Stock on hand as of 13 Sep 2026. Negative = already oversold. This is the urgent half of the order: the colours that sell are at zero, the colours that do not sell hold all the stock.</t>
        </is>
      </c>
    </row>
    <row r="4">
      <c r="A4" s="9" t="inlineStr">
        <is>
          <t>Colourway</t>
        </is>
      </c>
      <c r="B4" s="9" t="inlineStr">
        <is>
          <t>Share of mix</t>
        </is>
      </c>
      <c r="C4" s="9" t="inlineStr">
        <is>
          <t>Stock on hand</t>
        </is>
      </c>
      <c r="D4" s="9" t="inlineStr">
        <is>
          <t>Demand over the period</t>
        </is>
      </c>
      <c r="E4" s="9" t="inlineStr">
        <is>
          <t>TO ORDER</t>
        </is>
      </c>
    </row>
    <row r="5">
      <c r="A5" s="11" t="inlineStr">
        <is>
          <t>Black</t>
        </is>
      </c>
      <c r="B5" s="12" t="n">
        <v>0.32</v>
      </c>
      <c r="C5" s="13" t="n">
        <v>-406</v>
      </c>
      <c r="D5" s="14">
        <f>ROUND(Assumptions!$B$7*(1-Assumptions!$B$6)*B5,0)</f>
        <v/>
      </c>
      <c r="E5" s="15">
        <f>MAX(0,ROUND((D5-C5)/10,0)*10)</f>
        <v/>
      </c>
    </row>
    <row r="6">
      <c r="A6" s="11" t="inlineStr">
        <is>
          <t>Grey</t>
        </is>
      </c>
      <c r="B6" s="12" t="n">
        <v>0.16</v>
      </c>
      <c r="C6" s="16" t="n">
        <v>4</v>
      </c>
      <c r="D6" s="14">
        <f>ROUND(Assumptions!$B$7*(1-Assumptions!$B$6)*B6,0)</f>
        <v/>
      </c>
      <c r="E6" s="15">
        <f>MAX(0,ROUND((D6-C6)/10,0)*10)</f>
        <v/>
      </c>
    </row>
    <row r="7">
      <c r="A7" s="11" t="inlineStr">
        <is>
          <t>Leopard Brown</t>
        </is>
      </c>
      <c r="B7" s="12" t="n">
        <v>0.15</v>
      </c>
      <c r="C7" s="16" t="n">
        <v>22</v>
      </c>
      <c r="D7" s="14">
        <f>ROUND(Assumptions!$B$7*(1-Assumptions!$B$6)*B7,0)</f>
        <v/>
      </c>
      <c r="E7" s="15">
        <f>MAX(0,ROUND((D7-C7)/10,0)*10)</f>
        <v/>
      </c>
    </row>
    <row r="8">
      <c r="A8" s="11" t="inlineStr">
        <is>
          <t>Beige</t>
        </is>
      </c>
      <c r="B8" s="12" t="n">
        <v>0.11</v>
      </c>
      <c r="C8" s="16" t="n">
        <v>122</v>
      </c>
      <c r="D8" s="14">
        <f>ROUND(Assumptions!$B$7*(1-Assumptions!$B$6)*B8,0)</f>
        <v/>
      </c>
      <c r="E8" s="15">
        <f>MAX(0,ROUND((D8-C8)/10,0)*10)</f>
        <v/>
      </c>
    </row>
    <row r="9">
      <c r="A9" s="11" t="inlineStr">
        <is>
          <t>Leopard Beige</t>
        </is>
      </c>
      <c r="B9" s="12" t="n">
        <v>0.1</v>
      </c>
      <c r="C9" s="16" t="n">
        <v>143</v>
      </c>
      <c r="D9" s="14">
        <f>ROUND(Assumptions!$B$7*(1-Assumptions!$B$6)*B9,0)</f>
        <v/>
      </c>
      <c r="E9" s="15">
        <f>MAX(0,ROUND((D9-C9)/10,0)*10)</f>
        <v/>
      </c>
    </row>
    <row r="10">
      <c r="A10" s="11" t="inlineStr">
        <is>
          <t>Checkered</t>
        </is>
      </c>
      <c r="B10" s="12" t="n">
        <v>0.05</v>
      </c>
      <c r="C10" s="16" t="n">
        <v>272</v>
      </c>
      <c r="D10" s="14">
        <f>ROUND(Assumptions!$B$7*(1-Assumptions!$B$6)*B10,0)</f>
        <v/>
      </c>
      <c r="E10" s="15">
        <f>MAX(0,ROUND((D10-C10)/10,0)*10)</f>
        <v/>
      </c>
    </row>
    <row r="11">
      <c r="A11" s="11" t="inlineStr">
        <is>
          <t>Turquoise</t>
        </is>
      </c>
      <c r="B11" s="12" t="n">
        <v>0.05</v>
      </c>
      <c r="C11" s="16" t="n">
        <v>280</v>
      </c>
      <c r="D11" s="14">
        <f>ROUND(Assumptions!$B$7*(1-Assumptions!$B$6)*B11,0)</f>
        <v/>
      </c>
      <c r="E11" s="15">
        <f>MAX(0,ROUND((D11-C11)/10,0)*10)</f>
        <v/>
      </c>
    </row>
    <row r="12">
      <c r="A12" s="11" t="inlineStr">
        <is>
          <t>White</t>
        </is>
      </c>
      <c r="B12" s="12" t="n">
        <v>0.04</v>
      </c>
      <c r="C12" s="16" t="n">
        <v>305</v>
      </c>
      <c r="D12" s="14">
        <f>ROUND(Assumptions!$B$7*(1-Assumptions!$B$6)*B12,0)</f>
        <v/>
      </c>
      <c r="E12" s="15">
        <f>MAX(0,ROUND((D12-C12)/10,0)*10)</f>
        <v/>
      </c>
    </row>
    <row r="13">
      <c r="A13" s="17" t="inlineStr">
        <is>
          <t>TOTAL</t>
        </is>
      </c>
      <c r="E13" s="18">
        <f>SUM(E5:E12)</f>
        <v/>
      </c>
    </row>
    <row r="15" ht="30" customHeight="1">
      <c r="A15" s="19" t="inlineStr">
        <is>
          <t>Black is 32% of demand and sits at -406 pairs. Either it is on backorder or an inbound delivery has not been logged - worth checking before sending this.</t>
        </is>
      </c>
    </row>
    <row r="16" ht="30" customHeight="1">
      <c r="A16" s="19" t="inlineStr">
        <is>
          <t>White, Turquoise and Checkered hold 857 pairs between them for 14% of demand. Do not reorder them beyond what is shown here.</t>
        </is>
      </c>
    </row>
  </sheetData>
  <mergeCells count="2">
    <mergeCell ref="A16:E16"/>
    <mergeCell ref="A15:E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8" customWidth="1" min="3" max="3"/>
    <col width="14" customWidth="1" min="4" max="4"/>
    <col width="24" customWidth="1" min="5" max="5"/>
    <col width="16" customWidth="1" min="6" max="6"/>
    <col width="14" customWidth="1" min="7" max="7"/>
  </cols>
  <sheetData>
    <row r="1">
      <c r="A1" s="1" t="inlineStr">
        <is>
          <t>THE 9 NEW AUTUMN / WINTER COLOURWAYS</t>
        </is>
      </c>
    </row>
    <row r="2">
      <c r="A2" s="2" t="inlineStr">
        <is>
          <t>Same last, same knit construction, same sole, same insole, same sizing, same packaging. Colour / pattern is the only change.</t>
        </is>
      </c>
    </row>
    <row r="4">
      <c r="A4" s="9" t="inlineStr">
        <is>
          <t>#</t>
        </is>
      </c>
      <c r="B4" s="9" t="inlineStr">
        <is>
          <t>Colourway</t>
        </is>
      </c>
      <c r="C4" s="9" t="inlineStr">
        <is>
          <t>Type</t>
        </is>
      </c>
      <c r="D4" s="9" t="inlineStr">
        <is>
          <t>Main HEX</t>
        </is>
      </c>
      <c r="E4" s="9" t="inlineStr">
        <is>
          <t>Secondary</t>
        </is>
      </c>
      <c r="F4" s="9" t="inlineStr">
        <is>
          <t>Share of the new pool</t>
        </is>
      </c>
      <c r="G4" s="9" t="inlineStr">
        <is>
          <t>TO ORDER</t>
        </is>
      </c>
    </row>
    <row r="5">
      <c r="A5" s="16" t="n">
        <v>1</v>
      </c>
      <c r="B5" s="11" t="inlineStr">
        <is>
          <t>Navy</t>
        </is>
      </c>
      <c r="C5" s="20" t="inlineStr">
        <is>
          <t>Solid</t>
        </is>
      </c>
      <c r="D5" s="21" t="inlineStr">
        <is>
          <t>#1F2A44</t>
        </is>
      </c>
      <c r="E5" s="22" t="inlineStr"/>
      <c r="F5" s="12" t="n">
        <v>0.18</v>
      </c>
      <c r="G5" s="15">
        <f>ROUND(Assumptions!$B$7*Assumptions!$B$6*F5/10,0)*10</f>
        <v/>
      </c>
    </row>
    <row r="6">
      <c r="A6" s="16" t="n">
        <v>2</v>
      </c>
      <c r="B6" s="11" t="inlineStr">
        <is>
          <t>Grey Camo</t>
        </is>
      </c>
      <c r="C6" s="20" t="inlineStr">
        <is>
          <t>Knitted jacquard</t>
        </is>
      </c>
      <c r="D6" s="23" t="inlineStr">
        <is>
          <t>#8E9094</t>
        </is>
      </c>
      <c r="E6" s="22" t="inlineStr">
        <is>
          <t>#3C3E42</t>
        </is>
      </c>
      <c r="F6" s="12" t="n">
        <v>0.14</v>
      </c>
      <c r="G6" s="15">
        <f>ROUND(Assumptions!$B$7*Assumptions!$B$6*F6/10,0)*10</f>
        <v/>
      </c>
    </row>
    <row r="7">
      <c r="A7" s="16" t="n">
        <v>3</v>
      </c>
      <c r="B7" s="11" t="inlineStr">
        <is>
          <t>Heather Grey Marl</t>
        </is>
      </c>
      <c r="C7" s="20" t="inlineStr">
        <is>
          <t>Marled yarn</t>
        </is>
      </c>
      <c r="D7" s="24" t="inlineStr">
        <is>
          <t>#9A9A9A</t>
        </is>
      </c>
      <c r="E7" s="22" t="inlineStr">
        <is>
          <t>#4A4A4A</t>
        </is>
      </c>
      <c r="F7" s="12" t="n">
        <v>0.14</v>
      </c>
      <c r="G7" s="15">
        <f>ROUND(Assumptions!$B$7*Assumptions!$B$6*F7/10,0)*10</f>
        <v/>
      </c>
    </row>
    <row r="8">
      <c r="A8" s="16" t="n">
        <v>4</v>
      </c>
      <c r="B8" s="11" t="inlineStr">
        <is>
          <t>Espresso Brown</t>
        </is>
      </c>
      <c r="C8" s="20" t="inlineStr">
        <is>
          <t>Solid</t>
        </is>
      </c>
      <c r="D8" s="25" t="inlineStr">
        <is>
          <t>#4A342A</t>
        </is>
      </c>
      <c r="E8" s="22" t="inlineStr"/>
      <c r="F8" s="12" t="n">
        <v>0.12</v>
      </c>
      <c r="G8" s="15">
        <f>ROUND(Assumptions!$B$7*Assumptions!$B$6*F8/10,0)*10</f>
        <v/>
      </c>
    </row>
    <row r="9">
      <c r="A9" s="16" t="n">
        <v>5</v>
      </c>
      <c r="B9" s="11" t="inlineStr">
        <is>
          <t>Terracotta</t>
        </is>
      </c>
      <c r="C9" s="20" t="inlineStr">
        <is>
          <t>Solid</t>
        </is>
      </c>
      <c r="D9" s="26" t="inlineStr">
        <is>
          <t>#B0603C</t>
        </is>
      </c>
      <c r="E9" s="22" t="inlineStr"/>
      <c r="F9" s="12" t="n">
        <v>0.1</v>
      </c>
      <c r="G9" s="15">
        <f>ROUND(Assumptions!$B$7*Assumptions!$B$6*F9/10,0)*10</f>
        <v/>
      </c>
    </row>
    <row r="10">
      <c r="A10" s="16" t="n">
        <v>6</v>
      </c>
      <c r="B10" s="11" t="inlineStr">
        <is>
          <t>Burgundy Wine</t>
        </is>
      </c>
      <c r="C10" s="20" t="inlineStr">
        <is>
          <t>Solid</t>
        </is>
      </c>
      <c r="D10" s="27" t="inlineStr">
        <is>
          <t>#6E2233</t>
        </is>
      </c>
      <c r="E10" s="22" t="inlineStr"/>
      <c r="F10" s="12" t="n">
        <v>0.1</v>
      </c>
      <c r="G10" s="15">
        <f>ROUND(Assumptions!$B$7*Assumptions!$B$6*F10/10,0)*10</f>
        <v/>
      </c>
    </row>
    <row r="11">
      <c r="A11" s="16" t="n">
        <v>7</v>
      </c>
      <c r="B11" s="11" t="inlineStr">
        <is>
          <t>Buffalo Check Red / Black</t>
        </is>
      </c>
      <c r="C11" s="20" t="inlineStr">
        <is>
          <t>Knitted jacquard</t>
        </is>
      </c>
      <c r="D11" s="28" t="inlineStr">
        <is>
          <t>#C1272D</t>
        </is>
      </c>
      <c r="E11" s="22" t="inlineStr">
        <is>
          <t>#1A1A1A</t>
        </is>
      </c>
      <c r="F11" s="12" t="n">
        <v>0.09</v>
      </c>
      <c r="G11" s="15">
        <f>ROUND(Assumptions!$B$7*Assumptions!$B$6*F11/10,0)*10</f>
        <v/>
      </c>
    </row>
    <row r="12">
      <c r="A12" s="16" t="n">
        <v>8</v>
      </c>
      <c r="B12" s="11" t="inlineStr">
        <is>
          <t>Nordic Fair Isle</t>
        </is>
      </c>
      <c r="C12" s="20" t="inlineStr">
        <is>
          <t>Knitted jacquard</t>
        </is>
      </c>
      <c r="D12" s="29" t="inlineStr">
        <is>
          <t>#EDE3D2</t>
        </is>
      </c>
      <c r="E12" s="22" t="inlineStr">
        <is>
          <t>#A32234 / #22304A / #33352F</t>
        </is>
      </c>
      <c r="F12" s="12" t="n">
        <v>0.07000000000000001</v>
      </c>
      <c r="G12" s="15">
        <f>ROUND(Assumptions!$B$7*Assumptions!$B$6*F12/10,0)*10</f>
        <v/>
      </c>
    </row>
    <row r="13">
      <c r="A13" s="16" t="n">
        <v>9</v>
      </c>
      <c r="B13" s="11" t="inlineStr">
        <is>
          <t>Forest Green</t>
        </is>
      </c>
      <c r="C13" s="20" t="inlineStr">
        <is>
          <t>Solid</t>
        </is>
      </c>
      <c r="D13" s="30" t="inlineStr">
        <is>
          <t>#2C4A3B</t>
        </is>
      </c>
      <c r="E13" s="22" t="inlineStr"/>
      <c r="F13" s="12" t="n">
        <v>0.06</v>
      </c>
      <c r="G13" s="15">
        <f>ROUND(Assumptions!$B$7*Assumptions!$B$6*F13/10,0)*10</f>
        <v/>
      </c>
    </row>
    <row r="14">
      <c r="B14" s="17" t="inlineStr">
        <is>
          <t>TOTAL</t>
        </is>
      </c>
      <c r="G14" s="18">
        <f>SUM(G5:G13)</f>
        <v/>
      </c>
    </row>
    <row r="16">
      <c r="B16" s="31" t="inlineStr">
        <is>
          <t>GRAND TOTAL (restock + new)</t>
        </is>
      </c>
      <c r="G16" s="7">
        <f>'1 - Restock URGENT'!$E$13+'2 - New colourways'!$G$14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SIZE BREAKDOWN</t>
        </is>
      </c>
    </row>
    <row r="2">
      <c r="A2" s="2" t="inlineStr">
        <is>
          <t>Curve built on the 2,498 pairs actually sold on this style. 44% of demand sits on two sizes (8/8.5 and 9/9.5). Please do not substitute a flat curve.</t>
        </is>
      </c>
    </row>
    <row r="4" ht="46" customHeight="1">
      <c r="A4" s="9" t="inlineStr">
        <is>
          <t>Colourway</t>
        </is>
      </c>
      <c r="B4" s="9" t="inlineStr">
        <is>
          <t>US W5 / M3</t>
        </is>
      </c>
      <c r="C4" s="9" t="inlineStr">
        <is>
          <t>US W6 / M4</t>
        </is>
      </c>
      <c r="D4" s="9" t="inlineStr">
        <is>
          <t>US W7 / M5</t>
        </is>
      </c>
      <c r="E4" s="9" t="inlineStr">
        <is>
          <t>US W7.5 / M5.5</t>
        </is>
      </c>
      <c r="F4" s="9" t="inlineStr">
        <is>
          <t>US W8-8.5 / M6-6.5</t>
        </is>
      </c>
      <c r="G4" s="9" t="inlineStr">
        <is>
          <t>US W9-9.5 / M7-7.5</t>
        </is>
      </c>
      <c r="H4" s="9" t="inlineStr">
        <is>
          <t>US W10-10.5 / M8-8.5</t>
        </is>
      </c>
      <c r="I4" s="9" t="inlineStr">
        <is>
          <t>US W11-11.5 / M9-9.5</t>
        </is>
      </c>
      <c r="J4" s="9" t="inlineStr">
        <is>
          <t>US W12-12.5 / M10-10.5</t>
        </is>
      </c>
      <c r="K4" s="9" t="inlineStr">
        <is>
          <t>US W13-13.5 / M11-11.5</t>
        </is>
      </c>
      <c r="L4" s="9" t="inlineStr">
        <is>
          <t>US W14 / M12</t>
        </is>
      </c>
      <c r="M4" s="9" t="inlineStr">
        <is>
          <t>TOTAL</t>
        </is>
      </c>
    </row>
    <row r="5">
      <c r="A5" s="32" t="inlineStr">
        <is>
          <t>RESTOCK</t>
        </is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</row>
    <row r="6">
      <c r="A6" s="20" t="inlineStr">
        <is>
          <t>Black</t>
        </is>
      </c>
      <c r="B6" s="14">
        <f>ROUND('1 - Restock URGENT'!$E$5*Assumptions!$B$11,0)</f>
        <v/>
      </c>
      <c r="C6" s="14">
        <f>ROUND('1 - Restock URGENT'!$E$5*Assumptions!$C$11,0)</f>
        <v/>
      </c>
      <c r="D6" s="14">
        <f>ROUND('1 - Restock URGENT'!$E$5*Assumptions!$D$11,0)</f>
        <v/>
      </c>
      <c r="E6" s="14">
        <f>ROUND('1 - Restock URGENT'!$E$5*Assumptions!$E$11,0)</f>
        <v/>
      </c>
      <c r="F6" s="14">
        <f>ROUND('1 - Restock URGENT'!$E$5*Assumptions!$F$11,0)</f>
        <v/>
      </c>
      <c r="G6" s="14">
        <f>ROUND('1 - Restock URGENT'!$E$5*Assumptions!$G$11,0)</f>
        <v/>
      </c>
      <c r="H6" s="14">
        <f>ROUND('1 - Restock URGENT'!$E$5*Assumptions!$H$11,0)</f>
        <v/>
      </c>
      <c r="I6" s="14">
        <f>ROUND('1 - Restock URGENT'!$E$5*Assumptions!$I$11,0)</f>
        <v/>
      </c>
      <c r="J6" s="14">
        <f>ROUND('1 - Restock URGENT'!$E$5*Assumptions!$J$11,0)</f>
        <v/>
      </c>
      <c r="K6" s="14">
        <f>ROUND('1 - Restock URGENT'!$E$5*Assumptions!$K$11,0)</f>
        <v/>
      </c>
      <c r="L6" s="14">
        <f>ROUND('1 - Restock URGENT'!$E$5*Assumptions!$L$11,0)</f>
        <v/>
      </c>
      <c r="M6" s="18">
        <f>SUM(B6:L6)</f>
        <v/>
      </c>
    </row>
    <row r="7">
      <c r="A7" s="20" t="inlineStr">
        <is>
          <t>Grey</t>
        </is>
      </c>
      <c r="B7" s="14">
        <f>ROUND('1 - Restock URGENT'!$E$6*Assumptions!$B$11,0)</f>
        <v/>
      </c>
      <c r="C7" s="14">
        <f>ROUND('1 - Restock URGENT'!$E$6*Assumptions!$C$11,0)</f>
        <v/>
      </c>
      <c r="D7" s="14">
        <f>ROUND('1 - Restock URGENT'!$E$6*Assumptions!$D$11,0)</f>
        <v/>
      </c>
      <c r="E7" s="14">
        <f>ROUND('1 - Restock URGENT'!$E$6*Assumptions!$E$11,0)</f>
        <v/>
      </c>
      <c r="F7" s="14">
        <f>ROUND('1 - Restock URGENT'!$E$6*Assumptions!$F$11,0)</f>
        <v/>
      </c>
      <c r="G7" s="14">
        <f>ROUND('1 - Restock URGENT'!$E$6*Assumptions!$G$11,0)</f>
        <v/>
      </c>
      <c r="H7" s="14">
        <f>ROUND('1 - Restock URGENT'!$E$6*Assumptions!$H$11,0)</f>
        <v/>
      </c>
      <c r="I7" s="14">
        <f>ROUND('1 - Restock URGENT'!$E$6*Assumptions!$I$11,0)</f>
        <v/>
      </c>
      <c r="J7" s="14">
        <f>ROUND('1 - Restock URGENT'!$E$6*Assumptions!$J$11,0)</f>
        <v/>
      </c>
      <c r="K7" s="14">
        <f>ROUND('1 - Restock URGENT'!$E$6*Assumptions!$K$11,0)</f>
        <v/>
      </c>
      <c r="L7" s="14">
        <f>ROUND('1 - Restock URGENT'!$E$6*Assumptions!$L$11,0)</f>
        <v/>
      </c>
      <c r="M7" s="18">
        <f>SUM(B7:L7)</f>
        <v/>
      </c>
    </row>
    <row r="8">
      <c r="A8" s="20" t="inlineStr">
        <is>
          <t>Leopard Brown</t>
        </is>
      </c>
      <c r="B8" s="14">
        <f>ROUND('1 - Restock URGENT'!$E$7*Assumptions!$B$11,0)</f>
        <v/>
      </c>
      <c r="C8" s="14">
        <f>ROUND('1 - Restock URGENT'!$E$7*Assumptions!$C$11,0)</f>
        <v/>
      </c>
      <c r="D8" s="14">
        <f>ROUND('1 - Restock URGENT'!$E$7*Assumptions!$D$11,0)</f>
        <v/>
      </c>
      <c r="E8" s="14">
        <f>ROUND('1 - Restock URGENT'!$E$7*Assumptions!$E$11,0)</f>
        <v/>
      </c>
      <c r="F8" s="14">
        <f>ROUND('1 - Restock URGENT'!$E$7*Assumptions!$F$11,0)</f>
        <v/>
      </c>
      <c r="G8" s="14">
        <f>ROUND('1 - Restock URGENT'!$E$7*Assumptions!$G$11,0)</f>
        <v/>
      </c>
      <c r="H8" s="14">
        <f>ROUND('1 - Restock URGENT'!$E$7*Assumptions!$H$11,0)</f>
        <v/>
      </c>
      <c r="I8" s="14">
        <f>ROUND('1 - Restock URGENT'!$E$7*Assumptions!$I$11,0)</f>
        <v/>
      </c>
      <c r="J8" s="14">
        <f>ROUND('1 - Restock URGENT'!$E$7*Assumptions!$J$11,0)</f>
        <v/>
      </c>
      <c r="K8" s="14">
        <f>ROUND('1 - Restock URGENT'!$E$7*Assumptions!$K$11,0)</f>
        <v/>
      </c>
      <c r="L8" s="14">
        <f>ROUND('1 - Restock URGENT'!$E$7*Assumptions!$L$11,0)</f>
        <v/>
      </c>
      <c r="M8" s="18">
        <f>SUM(B8:L8)</f>
        <v/>
      </c>
    </row>
    <row r="9">
      <c r="A9" s="20" t="inlineStr">
        <is>
          <t>Beige</t>
        </is>
      </c>
      <c r="B9" s="14">
        <f>ROUND('1 - Restock URGENT'!$E$8*Assumptions!$B$11,0)</f>
        <v/>
      </c>
      <c r="C9" s="14">
        <f>ROUND('1 - Restock URGENT'!$E$8*Assumptions!$C$11,0)</f>
        <v/>
      </c>
      <c r="D9" s="14">
        <f>ROUND('1 - Restock URGENT'!$E$8*Assumptions!$D$11,0)</f>
        <v/>
      </c>
      <c r="E9" s="14">
        <f>ROUND('1 - Restock URGENT'!$E$8*Assumptions!$E$11,0)</f>
        <v/>
      </c>
      <c r="F9" s="14">
        <f>ROUND('1 - Restock URGENT'!$E$8*Assumptions!$F$11,0)</f>
        <v/>
      </c>
      <c r="G9" s="14">
        <f>ROUND('1 - Restock URGENT'!$E$8*Assumptions!$G$11,0)</f>
        <v/>
      </c>
      <c r="H9" s="14">
        <f>ROUND('1 - Restock URGENT'!$E$8*Assumptions!$H$11,0)</f>
        <v/>
      </c>
      <c r="I9" s="14">
        <f>ROUND('1 - Restock URGENT'!$E$8*Assumptions!$I$11,0)</f>
        <v/>
      </c>
      <c r="J9" s="14">
        <f>ROUND('1 - Restock URGENT'!$E$8*Assumptions!$J$11,0)</f>
        <v/>
      </c>
      <c r="K9" s="14">
        <f>ROUND('1 - Restock URGENT'!$E$8*Assumptions!$K$11,0)</f>
        <v/>
      </c>
      <c r="L9" s="14">
        <f>ROUND('1 - Restock URGENT'!$E$8*Assumptions!$L$11,0)</f>
        <v/>
      </c>
      <c r="M9" s="18">
        <f>SUM(B9:L9)</f>
        <v/>
      </c>
    </row>
    <row r="10">
      <c r="A10" s="20" t="inlineStr">
        <is>
          <t>Leopard Beige</t>
        </is>
      </c>
      <c r="B10" s="14">
        <f>ROUND('1 - Restock URGENT'!$E$9*Assumptions!$B$11,0)</f>
        <v/>
      </c>
      <c r="C10" s="14">
        <f>ROUND('1 - Restock URGENT'!$E$9*Assumptions!$C$11,0)</f>
        <v/>
      </c>
      <c r="D10" s="14">
        <f>ROUND('1 - Restock URGENT'!$E$9*Assumptions!$D$11,0)</f>
        <v/>
      </c>
      <c r="E10" s="14">
        <f>ROUND('1 - Restock URGENT'!$E$9*Assumptions!$E$11,0)</f>
        <v/>
      </c>
      <c r="F10" s="14">
        <f>ROUND('1 - Restock URGENT'!$E$9*Assumptions!$F$11,0)</f>
        <v/>
      </c>
      <c r="G10" s="14">
        <f>ROUND('1 - Restock URGENT'!$E$9*Assumptions!$G$11,0)</f>
        <v/>
      </c>
      <c r="H10" s="14">
        <f>ROUND('1 - Restock URGENT'!$E$9*Assumptions!$H$11,0)</f>
        <v/>
      </c>
      <c r="I10" s="14">
        <f>ROUND('1 - Restock URGENT'!$E$9*Assumptions!$I$11,0)</f>
        <v/>
      </c>
      <c r="J10" s="14">
        <f>ROUND('1 - Restock URGENT'!$E$9*Assumptions!$J$11,0)</f>
        <v/>
      </c>
      <c r="K10" s="14">
        <f>ROUND('1 - Restock URGENT'!$E$9*Assumptions!$K$11,0)</f>
        <v/>
      </c>
      <c r="L10" s="14">
        <f>ROUND('1 - Restock URGENT'!$E$9*Assumptions!$L$11,0)</f>
        <v/>
      </c>
      <c r="M10" s="18">
        <f>SUM(B10:L10)</f>
        <v/>
      </c>
    </row>
    <row r="11">
      <c r="A11" s="20" t="inlineStr">
        <is>
          <t>Checkered</t>
        </is>
      </c>
      <c r="B11" s="14">
        <f>ROUND('1 - Restock URGENT'!$E$10*Assumptions!$B$11,0)</f>
        <v/>
      </c>
      <c r="C11" s="14">
        <f>ROUND('1 - Restock URGENT'!$E$10*Assumptions!$C$11,0)</f>
        <v/>
      </c>
      <c r="D11" s="14">
        <f>ROUND('1 - Restock URGENT'!$E$10*Assumptions!$D$11,0)</f>
        <v/>
      </c>
      <c r="E11" s="14">
        <f>ROUND('1 - Restock URGENT'!$E$10*Assumptions!$E$11,0)</f>
        <v/>
      </c>
      <c r="F11" s="14">
        <f>ROUND('1 - Restock URGENT'!$E$10*Assumptions!$F$11,0)</f>
        <v/>
      </c>
      <c r="G11" s="14">
        <f>ROUND('1 - Restock URGENT'!$E$10*Assumptions!$G$11,0)</f>
        <v/>
      </c>
      <c r="H11" s="14">
        <f>ROUND('1 - Restock URGENT'!$E$10*Assumptions!$H$11,0)</f>
        <v/>
      </c>
      <c r="I11" s="14">
        <f>ROUND('1 - Restock URGENT'!$E$10*Assumptions!$I$11,0)</f>
        <v/>
      </c>
      <c r="J11" s="14">
        <f>ROUND('1 - Restock URGENT'!$E$10*Assumptions!$J$11,0)</f>
        <v/>
      </c>
      <c r="K11" s="14">
        <f>ROUND('1 - Restock URGENT'!$E$10*Assumptions!$K$11,0)</f>
        <v/>
      </c>
      <c r="L11" s="14">
        <f>ROUND('1 - Restock URGENT'!$E$10*Assumptions!$L$11,0)</f>
        <v/>
      </c>
      <c r="M11" s="18">
        <f>SUM(B11:L11)</f>
        <v/>
      </c>
    </row>
    <row r="12">
      <c r="A12" s="20" t="inlineStr">
        <is>
          <t>Turquoise</t>
        </is>
      </c>
      <c r="B12" s="14">
        <f>ROUND('1 - Restock URGENT'!$E$11*Assumptions!$B$11,0)</f>
        <v/>
      </c>
      <c r="C12" s="14">
        <f>ROUND('1 - Restock URGENT'!$E$11*Assumptions!$C$11,0)</f>
        <v/>
      </c>
      <c r="D12" s="14">
        <f>ROUND('1 - Restock URGENT'!$E$11*Assumptions!$D$11,0)</f>
        <v/>
      </c>
      <c r="E12" s="14">
        <f>ROUND('1 - Restock URGENT'!$E$11*Assumptions!$E$11,0)</f>
        <v/>
      </c>
      <c r="F12" s="14">
        <f>ROUND('1 - Restock URGENT'!$E$11*Assumptions!$F$11,0)</f>
        <v/>
      </c>
      <c r="G12" s="14">
        <f>ROUND('1 - Restock URGENT'!$E$11*Assumptions!$G$11,0)</f>
        <v/>
      </c>
      <c r="H12" s="14">
        <f>ROUND('1 - Restock URGENT'!$E$11*Assumptions!$H$11,0)</f>
        <v/>
      </c>
      <c r="I12" s="14">
        <f>ROUND('1 - Restock URGENT'!$E$11*Assumptions!$I$11,0)</f>
        <v/>
      </c>
      <c r="J12" s="14">
        <f>ROUND('1 - Restock URGENT'!$E$11*Assumptions!$J$11,0)</f>
        <v/>
      </c>
      <c r="K12" s="14">
        <f>ROUND('1 - Restock URGENT'!$E$11*Assumptions!$K$11,0)</f>
        <v/>
      </c>
      <c r="L12" s="14">
        <f>ROUND('1 - Restock URGENT'!$E$11*Assumptions!$L$11,0)</f>
        <v/>
      </c>
      <c r="M12" s="18">
        <f>SUM(B12:L12)</f>
        <v/>
      </c>
    </row>
    <row r="13">
      <c r="A13" s="20" t="inlineStr">
        <is>
          <t>White</t>
        </is>
      </c>
      <c r="B13" s="14">
        <f>ROUND('1 - Restock URGENT'!$E$12*Assumptions!$B$11,0)</f>
        <v/>
      </c>
      <c r="C13" s="14">
        <f>ROUND('1 - Restock URGENT'!$E$12*Assumptions!$C$11,0)</f>
        <v/>
      </c>
      <c r="D13" s="14">
        <f>ROUND('1 - Restock URGENT'!$E$12*Assumptions!$D$11,0)</f>
        <v/>
      </c>
      <c r="E13" s="14">
        <f>ROUND('1 - Restock URGENT'!$E$12*Assumptions!$E$11,0)</f>
        <v/>
      </c>
      <c r="F13" s="14">
        <f>ROUND('1 - Restock URGENT'!$E$12*Assumptions!$F$11,0)</f>
        <v/>
      </c>
      <c r="G13" s="14">
        <f>ROUND('1 - Restock URGENT'!$E$12*Assumptions!$G$11,0)</f>
        <v/>
      </c>
      <c r="H13" s="14">
        <f>ROUND('1 - Restock URGENT'!$E$12*Assumptions!$H$11,0)</f>
        <v/>
      </c>
      <c r="I13" s="14">
        <f>ROUND('1 - Restock URGENT'!$E$12*Assumptions!$I$11,0)</f>
        <v/>
      </c>
      <c r="J13" s="14">
        <f>ROUND('1 - Restock URGENT'!$E$12*Assumptions!$J$11,0)</f>
        <v/>
      </c>
      <c r="K13" s="14">
        <f>ROUND('1 - Restock URGENT'!$E$12*Assumptions!$K$11,0)</f>
        <v/>
      </c>
      <c r="L13" s="14">
        <f>ROUND('1 - Restock URGENT'!$E$12*Assumptions!$L$11,0)</f>
        <v/>
      </c>
      <c r="M13" s="18">
        <f>SUM(B13:L13)</f>
        <v/>
      </c>
    </row>
    <row r="14">
      <c r="A14" s="32" t="inlineStr">
        <is>
          <t>NEW COLOURWAYS</t>
        </is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</row>
    <row r="15">
      <c r="A15" s="20" t="inlineStr">
        <is>
          <t>Navy</t>
        </is>
      </c>
      <c r="B15" s="14">
        <f>ROUND('2 - New colourways'!$G$5*Assumptions!$B$11,0)</f>
        <v/>
      </c>
      <c r="C15" s="14">
        <f>ROUND('2 - New colourways'!$G$5*Assumptions!$C$11,0)</f>
        <v/>
      </c>
      <c r="D15" s="14">
        <f>ROUND('2 - New colourways'!$G$5*Assumptions!$D$11,0)</f>
        <v/>
      </c>
      <c r="E15" s="14">
        <f>ROUND('2 - New colourways'!$G$5*Assumptions!$E$11,0)</f>
        <v/>
      </c>
      <c r="F15" s="14">
        <f>ROUND('2 - New colourways'!$G$5*Assumptions!$F$11,0)</f>
        <v/>
      </c>
      <c r="G15" s="14">
        <f>ROUND('2 - New colourways'!$G$5*Assumptions!$G$11,0)</f>
        <v/>
      </c>
      <c r="H15" s="14">
        <f>ROUND('2 - New colourways'!$G$5*Assumptions!$H$11,0)</f>
        <v/>
      </c>
      <c r="I15" s="14">
        <f>ROUND('2 - New colourways'!$G$5*Assumptions!$I$11,0)</f>
        <v/>
      </c>
      <c r="J15" s="14">
        <f>ROUND('2 - New colourways'!$G$5*Assumptions!$J$11,0)</f>
        <v/>
      </c>
      <c r="K15" s="14">
        <f>ROUND('2 - New colourways'!$G$5*Assumptions!$K$11,0)</f>
        <v/>
      </c>
      <c r="L15" s="14">
        <f>ROUND('2 - New colourways'!$G$5*Assumptions!$L$11,0)</f>
        <v/>
      </c>
      <c r="M15" s="18">
        <f>SUM(B15:L15)</f>
        <v/>
      </c>
    </row>
    <row r="16">
      <c r="A16" s="20" t="inlineStr">
        <is>
          <t>Grey Camo</t>
        </is>
      </c>
      <c r="B16" s="14">
        <f>ROUND('2 - New colourways'!$G$6*Assumptions!$B$11,0)</f>
        <v/>
      </c>
      <c r="C16" s="14">
        <f>ROUND('2 - New colourways'!$G$6*Assumptions!$C$11,0)</f>
        <v/>
      </c>
      <c r="D16" s="14">
        <f>ROUND('2 - New colourways'!$G$6*Assumptions!$D$11,0)</f>
        <v/>
      </c>
      <c r="E16" s="14">
        <f>ROUND('2 - New colourways'!$G$6*Assumptions!$E$11,0)</f>
        <v/>
      </c>
      <c r="F16" s="14">
        <f>ROUND('2 - New colourways'!$G$6*Assumptions!$F$11,0)</f>
        <v/>
      </c>
      <c r="G16" s="14">
        <f>ROUND('2 - New colourways'!$G$6*Assumptions!$G$11,0)</f>
        <v/>
      </c>
      <c r="H16" s="14">
        <f>ROUND('2 - New colourways'!$G$6*Assumptions!$H$11,0)</f>
        <v/>
      </c>
      <c r="I16" s="14">
        <f>ROUND('2 - New colourways'!$G$6*Assumptions!$I$11,0)</f>
        <v/>
      </c>
      <c r="J16" s="14">
        <f>ROUND('2 - New colourways'!$G$6*Assumptions!$J$11,0)</f>
        <v/>
      </c>
      <c r="K16" s="14">
        <f>ROUND('2 - New colourways'!$G$6*Assumptions!$K$11,0)</f>
        <v/>
      </c>
      <c r="L16" s="14">
        <f>ROUND('2 - New colourways'!$G$6*Assumptions!$L$11,0)</f>
        <v/>
      </c>
      <c r="M16" s="18">
        <f>SUM(B16:L16)</f>
        <v/>
      </c>
    </row>
    <row r="17">
      <c r="A17" s="20" t="inlineStr">
        <is>
          <t>Heather Grey Marl</t>
        </is>
      </c>
      <c r="B17" s="14">
        <f>ROUND('2 - New colourways'!$G$7*Assumptions!$B$11,0)</f>
        <v/>
      </c>
      <c r="C17" s="14">
        <f>ROUND('2 - New colourways'!$G$7*Assumptions!$C$11,0)</f>
        <v/>
      </c>
      <c r="D17" s="14">
        <f>ROUND('2 - New colourways'!$G$7*Assumptions!$D$11,0)</f>
        <v/>
      </c>
      <c r="E17" s="14">
        <f>ROUND('2 - New colourways'!$G$7*Assumptions!$E$11,0)</f>
        <v/>
      </c>
      <c r="F17" s="14">
        <f>ROUND('2 - New colourways'!$G$7*Assumptions!$F$11,0)</f>
        <v/>
      </c>
      <c r="G17" s="14">
        <f>ROUND('2 - New colourways'!$G$7*Assumptions!$G$11,0)</f>
        <v/>
      </c>
      <c r="H17" s="14">
        <f>ROUND('2 - New colourways'!$G$7*Assumptions!$H$11,0)</f>
        <v/>
      </c>
      <c r="I17" s="14">
        <f>ROUND('2 - New colourways'!$G$7*Assumptions!$I$11,0)</f>
        <v/>
      </c>
      <c r="J17" s="14">
        <f>ROUND('2 - New colourways'!$G$7*Assumptions!$J$11,0)</f>
        <v/>
      </c>
      <c r="K17" s="14">
        <f>ROUND('2 - New colourways'!$G$7*Assumptions!$K$11,0)</f>
        <v/>
      </c>
      <c r="L17" s="14">
        <f>ROUND('2 - New colourways'!$G$7*Assumptions!$L$11,0)</f>
        <v/>
      </c>
      <c r="M17" s="18">
        <f>SUM(B17:L17)</f>
        <v/>
      </c>
    </row>
    <row r="18">
      <c r="A18" s="20" t="inlineStr">
        <is>
          <t>Espresso Brown</t>
        </is>
      </c>
      <c r="B18" s="14">
        <f>ROUND('2 - New colourways'!$G$8*Assumptions!$B$11,0)</f>
        <v/>
      </c>
      <c r="C18" s="14">
        <f>ROUND('2 - New colourways'!$G$8*Assumptions!$C$11,0)</f>
        <v/>
      </c>
      <c r="D18" s="14">
        <f>ROUND('2 - New colourways'!$G$8*Assumptions!$D$11,0)</f>
        <v/>
      </c>
      <c r="E18" s="14">
        <f>ROUND('2 - New colourways'!$G$8*Assumptions!$E$11,0)</f>
        <v/>
      </c>
      <c r="F18" s="14">
        <f>ROUND('2 - New colourways'!$G$8*Assumptions!$F$11,0)</f>
        <v/>
      </c>
      <c r="G18" s="14">
        <f>ROUND('2 - New colourways'!$G$8*Assumptions!$G$11,0)</f>
        <v/>
      </c>
      <c r="H18" s="14">
        <f>ROUND('2 - New colourways'!$G$8*Assumptions!$H$11,0)</f>
        <v/>
      </c>
      <c r="I18" s="14">
        <f>ROUND('2 - New colourways'!$G$8*Assumptions!$I$11,0)</f>
        <v/>
      </c>
      <c r="J18" s="14">
        <f>ROUND('2 - New colourways'!$G$8*Assumptions!$J$11,0)</f>
        <v/>
      </c>
      <c r="K18" s="14">
        <f>ROUND('2 - New colourways'!$G$8*Assumptions!$K$11,0)</f>
        <v/>
      </c>
      <c r="L18" s="14">
        <f>ROUND('2 - New colourways'!$G$8*Assumptions!$L$11,0)</f>
        <v/>
      </c>
      <c r="M18" s="18">
        <f>SUM(B18:L18)</f>
        <v/>
      </c>
    </row>
    <row r="19">
      <c r="A19" s="20" t="inlineStr">
        <is>
          <t>Terracotta</t>
        </is>
      </c>
      <c r="B19" s="14">
        <f>ROUND('2 - New colourways'!$G$9*Assumptions!$B$11,0)</f>
        <v/>
      </c>
      <c r="C19" s="14">
        <f>ROUND('2 - New colourways'!$G$9*Assumptions!$C$11,0)</f>
        <v/>
      </c>
      <c r="D19" s="14">
        <f>ROUND('2 - New colourways'!$G$9*Assumptions!$D$11,0)</f>
        <v/>
      </c>
      <c r="E19" s="14">
        <f>ROUND('2 - New colourways'!$G$9*Assumptions!$E$11,0)</f>
        <v/>
      </c>
      <c r="F19" s="14">
        <f>ROUND('2 - New colourways'!$G$9*Assumptions!$F$11,0)</f>
        <v/>
      </c>
      <c r="G19" s="14">
        <f>ROUND('2 - New colourways'!$G$9*Assumptions!$G$11,0)</f>
        <v/>
      </c>
      <c r="H19" s="14">
        <f>ROUND('2 - New colourways'!$G$9*Assumptions!$H$11,0)</f>
        <v/>
      </c>
      <c r="I19" s="14">
        <f>ROUND('2 - New colourways'!$G$9*Assumptions!$I$11,0)</f>
        <v/>
      </c>
      <c r="J19" s="14">
        <f>ROUND('2 - New colourways'!$G$9*Assumptions!$J$11,0)</f>
        <v/>
      </c>
      <c r="K19" s="14">
        <f>ROUND('2 - New colourways'!$G$9*Assumptions!$K$11,0)</f>
        <v/>
      </c>
      <c r="L19" s="14">
        <f>ROUND('2 - New colourways'!$G$9*Assumptions!$L$11,0)</f>
        <v/>
      </c>
      <c r="M19" s="18">
        <f>SUM(B19:L19)</f>
        <v/>
      </c>
    </row>
    <row r="20">
      <c r="A20" s="20" t="inlineStr">
        <is>
          <t>Burgundy Wine</t>
        </is>
      </c>
      <c r="B20" s="14">
        <f>ROUND('2 - New colourways'!$G$10*Assumptions!$B$11,0)</f>
        <v/>
      </c>
      <c r="C20" s="14">
        <f>ROUND('2 - New colourways'!$G$10*Assumptions!$C$11,0)</f>
        <v/>
      </c>
      <c r="D20" s="14">
        <f>ROUND('2 - New colourways'!$G$10*Assumptions!$D$11,0)</f>
        <v/>
      </c>
      <c r="E20" s="14">
        <f>ROUND('2 - New colourways'!$G$10*Assumptions!$E$11,0)</f>
        <v/>
      </c>
      <c r="F20" s="14">
        <f>ROUND('2 - New colourways'!$G$10*Assumptions!$F$11,0)</f>
        <v/>
      </c>
      <c r="G20" s="14">
        <f>ROUND('2 - New colourways'!$G$10*Assumptions!$G$11,0)</f>
        <v/>
      </c>
      <c r="H20" s="14">
        <f>ROUND('2 - New colourways'!$G$10*Assumptions!$H$11,0)</f>
        <v/>
      </c>
      <c r="I20" s="14">
        <f>ROUND('2 - New colourways'!$G$10*Assumptions!$I$11,0)</f>
        <v/>
      </c>
      <c r="J20" s="14">
        <f>ROUND('2 - New colourways'!$G$10*Assumptions!$J$11,0)</f>
        <v/>
      </c>
      <c r="K20" s="14">
        <f>ROUND('2 - New colourways'!$G$10*Assumptions!$K$11,0)</f>
        <v/>
      </c>
      <c r="L20" s="14">
        <f>ROUND('2 - New colourways'!$G$10*Assumptions!$L$11,0)</f>
        <v/>
      </c>
      <c r="M20" s="18">
        <f>SUM(B20:L20)</f>
        <v/>
      </c>
    </row>
    <row r="21">
      <c r="A21" s="20" t="inlineStr">
        <is>
          <t>Buffalo Check Red / Black</t>
        </is>
      </c>
      <c r="B21" s="14">
        <f>ROUND('2 - New colourways'!$G$11*Assumptions!$B$11,0)</f>
        <v/>
      </c>
      <c r="C21" s="14">
        <f>ROUND('2 - New colourways'!$G$11*Assumptions!$C$11,0)</f>
        <v/>
      </c>
      <c r="D21" s="14">
        <f>ROUND('2 - New colourways'!$G$11*Assumptions!$D$11,0)</f>
        <v/>
      </c>
      <c r="E21" s="14">
        <f>ROUND('2 - New colourways'!$G$11*Assumptions!$E$11,0)</f>
        <v/>
      </c>
      <c r="F21" s="14">
        <f>ROUND('2 - New colourways'!$G$11*Assumptions!$F$11,0)</f>
        <v/>
      </c>
      <c r="G21" s="14">
        <f>ROUND('2 - New colourways'!$G$11*Assumptions!$G$11,0)</f>
        <v/>
      </c>
      <c r="H21" s="14">
        <f>ROUND('2 - New colourways'!$G$11*Assumptions!$H$11,0)</f>
        <v/>
      </c>
      <c r="I21" s="14">
        <f>ROUND('2 - New colourways'!$G$11*Assumptions!$I$11,0)</f>
        <v/>
      </c>
      <c r="J21" s="14">
        <f>ROUND('2 - New colourways'!$G$11*Assumptions!$J$11,0)</f>
        <v/>
      </c>
      <c r="K21" s="14">
        <f>ROUND('2 - New colourways'!$G$11*Assumptions!$K$11,0)</f>
        <v/>
      </c>
      <c r="L21" s="14">
        <f>ROUND('2 - New colourways'!$G$11*Assumptions!$L$11,0)</f>
        <v/>
      </c>
      <c r="M21" s="18">
        <f>SUM(B21:L21)</f>
        <v/>
      </c>
    </row>
    <row r="22">
      <c r="A22" s="20" t="inlineStr">
        <is>
          <t>Nordic Fair Isle</t>
        </is>
      </c>
      <c r="B22" s="14">
        <f>ROUND('2 - New colourways'!$G$12*Assumptions!$B$11,0)</f>
        <v/>
      </c>
      <c r="C22" s="14">
        <f>ROUND('2 - New colourways'!$G$12*Assumptions!$C$11,0)</f>
        <v/>
      </c>
      <c r="D22" s="14">
        <f>ROUND('2 - New colourways'!$G$12*Assumptions!$D$11,0)</f>
        <v/>
      </c>
      <c r="E22" s="14">
        <f>ROUND('2 - New colourways'!$G$12*Assumptions!$E$11,0)</f>
        <v/>
      </c>
      <c r="F22" s="14">
        <f>ROUND('2 - New colourways'!$G$12*Assumptions!$F$11,0)</f>
        <v/>
      </c>
      <c r="G22" s="14">
        <f>ROUND('2 - New colourways'!$G$12*Assumptions!$G$11,0)</f>
        <v/>
      </c>
      <c r="H22" s="14">
        <f>ROUND('2 - New colourways'!$G$12*Assumptions!$H$11,0)</f>
        <v/>
      </c>
      <c r="I22" s="14">
        <f>ROUND('2 - New colourways'!$G$12*Assumptions!$I$11,0)</f>
        <v/>
      </c>
      <c r="J22" s="14">
        <f>ROUND('2 - New colourways'!$G$12*Assumptions!$J$11,0)</f>
        <v/>
      </c>
      <c r="K22" s="14">
        <f>ROUND('2 - New colourways'!$G$12*Assumptions!$K$11,0)</f>
        <v/>
      </c>
      <c r="L22" s="14">
        <f>ROUND('2 - New colourways'!$G$12*Assumptions!$L$11,0)</f>
        <v/>
      </c>
      <c r="M22" s="18">
        <f>SUM(B22:L22)</f>
        <v/>
      </c>
    </row>
    <row r="23">
      <c r="A23" s="20" t="inlineStr">
        <is>
          <t>Forest Green</t>
        </is>
      </c>
      <c r="B23" s="14">
        <f>ROUND('2 - New colourways'!$G$13*Assumptions!$B$11,0)</f>
        <v/>
      </c>
      <c r="C23" s="14">
        <f>ROUND('2 - New colourways'!$G$13*Assumptions!$C$11,0)</f>
        <v/>
      </c>
      <c r="D23" s="14">
        <f>ROUND('2 - New colourways'!$G$13*Assumptions!$D$11,0)</f>
        <v/>
      </c>
      <c r="E23" s="14">
        <f>ROUND('2 - New colourways'!$G$13*Assumptions!$E$11,0)</f>
        <v/>
      </c>
      <c r="F23" s="14">
        <f>ROUND('2 - New colourways'!$G$13*Assumptions!$F$11,0)</f>
        <v/>
      </c>
      <c r="G23" s="14">
        <f>ROUND('2 - New colourways'!$G$13*Assumptions!$G$11,0)</f>
        <v/>
      </c>
      <c r="H23" s="14">
        <f>ROUND('2 - New colourways'!$G$13*Assumptions!$H$11,0)</f>
        <v/>
      </c>
      <c r="I23" s="14">
        <f>ROUND('2 - New colourways'!$G$13*Assumptions!$I$11,0)</f>
        <v/>
      </c>
      <c r="J23" s="14">
        <f>ROUND('2 - New colourways'!$G$13*Assumptions!$J$11,0)</f>
        <v/>
      </c>
      <c r="K23" s="14">
        <f>ROUND('2 - New colourways'!$G$13*Assumptions!$K$11,0)</f>
        <v/>
      </c>
      <c r="L23" s="14">
        <f>ROUND('2 - New colourways'!$G$13*Assumptions!$L$11,0)</f>
        <v/>
      </c>
      <c r="M23" s="18">
        <f>SUM(B23:L23)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0" customWidth="1" min="3" max="3"/>
    <col width="24" customWidth="1" min="4" max="4"/>
    <col width="18" customWidth="1" min="5" max="5"/>
    <col width="62" customWidth="1" min="6" max="6"/>
    <col width="58" customWidth="1" min="7" max="7"/>
  </cols>
  <sheetData>
    <row r="1">
      <c r="A1" s="1" t="inlineStr">
        <is>
          <t>COLOURWAY SPECIFICATIONS</t>
        </is>
      </c>
    </row>
    <row r="3">
      <c r="A3" s="9" t="inlineStr">
        <is>
          <t>#</t>
        </is>
      </c>
      <c r="B3" s="9" t="inlineStr">
        <is>
          <t>Colourway</t>
        </is>
      </c>
      <c r="C3" s="9" t="inlineStr">
        <is>
          <t>Swatch</t>
        </is>
      </c>
      <c r="D3" s="9" t="inlineStr">
        <is>
          <t>HEX target</t>
        </is>
      </c>
      <c r="E3" s="9" t="inlineStr">
        <is>
          <t>Type</t>
        </is>
      </c>
      <c r="F3" s="9" t="inlineStr">
        <is>
          <t>Specification</t>
        </is>
      </c>
      <c r="G3" s="9" t="inlineStr">
        <is>
          <t>Why we chose it</t>
        </is>
      </c>
    </row>
    <row r="4" ht="66" customHeight="1">
      <c r="A4" s="16" t="n">
        <v>1</v>
      </c>
      <c r="B4" s="11" t="inlineStr">
        <is>
          <t>Navy</t>
        </is>
      </c>
      <c r="C4" s="34" t="inlineStr"/>
      <c r="D4" s="22" t="inlineStr">
        <is>
          <t>#1F2A44</t>
        </is>
      </c>
      <c r="E4" s="20" t="inlineStr">
        <is>
          <t>Solid</t>
        </is>
      </c>
      <c r="F4" s="35" t="inlineStr">
        <is>
          <t>Deep rich navy. Match the navy already in production on our Cloud Walk Classic (same dye lot if possible). Tone-on-tone, matte.</t>
        </is>
      </c>
      <c r="G4" s="35" t="inlineStr">
        <is>
          <t>#2 colour on Cloud Walk Classic (1,753 prs) and on Free Stride. Missing on this style.</t>
        </is>
      </c>
    </row>
    <row r="5" ht="66" customHeight="1">
      <c r="A5" s="16" t="n">
        <v>2</v>
      </c>
      <c r="B5" s="11" t="inlineStr">
        <is>
          <t>Grey Camo</t>
        </is>
      </c>
      <c r="C5" s="36" t="inlineStr"/>
      <c r="D5" s="22" t="inlineStr">
        <is>
          <t>#8E9094 / #3C3E42</t>
        </is>
      </c>
      <c r="E5" s="20" t="inlineStr">
        <is>
          <t>Knitted jacquard</t>
        </is>
      </c>
      <c r="F5" s="35" t="inlineStr">
        <is>
          <t>Soft camouflage in FOUR GREYS ONLY: off-white, light grey, mid grey, charcoal. Rounded organic blotches approx 3-4 cm, soft edges, knitted in. STRICTLY greyscale - no green, no olive, no khaki, no brown.</t>
        </is>
      </c>
      <c r="G5" s="35" t="inlineStr">
        <is>
          <t>Patterned neutrals are 30% of this style's volume (Leopard Brown 15% + Leopard Beige 10% + Checkered 5%). Grey camo is the same behaviour with a new look.</t>
        </is>
      </c>
    </row>
    <row r="6" ht="66" customHeight="1">
      <c r="A6" s="16" t="n">
        <v>3</v>
      </c>
      <c r="B6" s="11" t="inlineStr">
        <is>
          <t>Heather Grey Marl</t>
        </is>
      </c>
      <c r="C6" s="37" t="inlineStr"/>
      <c r="D6" s="22" t="inlineStr">
        <is>
          <t>#9A9A9A / #4A4A4A</t>
        </is>
      </c>
      <c r="E6" s="20" t="inlineStr">
        <is>
          <t>Marled yarn</t>
        </is>
      </c>
      <c r="F6" s="35" t="inlineStr">
        <is>
          <t>Salt-and-pepper marled melange: light grey + mid grey + charcoal fibres spun together. A YARN effect, NOT a print, NOT stripes.</t>
        </is>
      </c>
      <c r="G6" s="35" t="inlineStr">
        <is>
          <t>'Multicolor' (grey marl) is the best-selling colourway of the whole store on Cloud Walk. This style only has flat Grey today.</t>
        </is>
      </c>
    </row>
    <row r="7" ht="66" customHeight="1">
      <c r="A7" s="16" t="n">
        <v>4</v>
      </c>
      <c r="B7" s="11" t="inlineStr">
        <is>
          <t>Espresso Brown</t>
        </is>
      </c>
      <c r="C7" s="38" t="inlineStr"/>
      <c r="D7" s="22" t="inlineStr">
        <is>
          <t>#4A342A</t>
        </is>
      </c>
      <c r="E7" s="20" t="inlineStr">
        <is>
          <t>Solid</t>
        </is>
      </c>
      <c r="F7" s="35" t="inlineStr">
        <is>
          <t>Deep dark chocolate / espresso. Not tan, not caramel, not taupe.</t>
        </is>
      </c>
      <c r="G7" s="35" t="inlineStr">
        <is>
          <t>442 prs on Cloud Walk Classic. Brown is the #1 AW26 footwear colour; pairs with Leopard Brown, our #3 here.</t>
        </is>
      </c>
    </row>
    <row r="8" ht="66" customHeight="1">
      <c r="A8" s="16" t="n">
        <v>5</v>
      </c>
      <c r="B8" s="11" t="inlineStr">
        <is>
          <t>Terracotta</t>
        </is>
      </c>
      <c r="C8" s="39" t="inlineStr"/>
      <c r="D8" s="22" t="inlineStr">
        <is>
          <t>#B0603C</t>
        </is>
      </c>
      <c r="E8" s="20" t="inlineStr">
        <is>
          <t>Solid</t>
        </is>
      </c>
      <c r="F8" s="35" t="inlineStr">
        <is>
          <t>Warm burnt terracotta / rust. Earthy orange-brown, not neon, not coral.</t>
        </is>
      </c>
      <c r="G8" s="35" t="inlineStr">
        <is>
          <t>491 prs on Cloud Walk Classic - ahead of Grey on that style. Signature autumn shade.</t>
        </is>
      </c>
    </row>
    <row r="9" ht="66" customHeight="1">
      <c r="A9" s="16" t="n">
        <v>6</v>
      </c>
      <c r="B9" s="11" t="inlineStr">
        <is>
          <t>Burgundy Wine</t>
        </is>
      </c>
      <c r="C9" s="40" t="inlineStr"/>
      <c r="D9" s="22" t="inlineStr">
        <is>
          <t>#6E2233</t>
        </is>
      </c>
      <c r="E9" s="20" t="inlineStr">
        <is>
          <t>Solid</t>
        </is>
      </c>
      <c r="F9" s="35" t="inlineStr">
        <is>
          <t>Deep burgundy wine red. Blue-red, not orange-red, not bright red.</t>
        </is>
      </c>
      <c r="G9" s="35" t="inlineStr">
        <is>
          <t>Plum Purple did 350 prs on Cloud Walk Classic: the deep red-purple family works on our buyer. Burgundy is the AW slipper classic.</t>
        </is>
      </c>
    </row>
    <row r="10" ht="66" customHeight="1">
      <c r="A10" s="16" t="n">
        <v>7</v>
      </c>
      <c r="B10" s="11" t="inlineStr">
        <is>
          <t>Buffalo Check Red / Black</t>
        </is>
      </c>
      <c r="C10" s="41" t="inlineStr"/>
      <c r="D10" s="22" t="inlineStr">
        <is>
          <t>#C1272D / #1A1A1A</t>
        </is>
      </c>
      <c r="E10" s="20" t="inlineStr">
        <is>
          <t>Knitted jacquard</t>
        </is>
      </c>
      <c r="F10" s="35" t="inlineStr">
        <is>
          <t>Classic buffalo check: even squares approx 2 cm, true red x black, knitted in (jacquard), grid following the curve of the last. Collar SOLID BLACK.</t>
        </is>
      </c>
      <c r="G10" s="35" t="inlineStr">
        <is>
          <t>The #1 classic of the US cosy-slipper category and the biggest Christmas gifting driver. We already run a check on this style.</t>
        </is>
      </c>
    </row>
    <row r="11" ht="66" customHeight="1">
      <c r="A11" s="16" t="n">
        <v>8</v>
      </c>
      <c r="B11" s="11" t="inlineStr">
        <is>
          <t>Nordic Fair Isle</t>
        </is>
      </c>
      <c r="C11" s="42" t="inlineStr"/>
      <c r="D11" s="22" t="inlineStr">
        <is>
          <t>#EDE3D2 / #A32234 / #22304A / #33352F</t>
        </is>
      </c>
      <c r="E11" s="20" t="inlineStr">
        <is>
          <t>Knitted jacquard</t>
        </is>
      </c>
      <c r="F11" s="35" t="inlineStr">
        <is>
          <t>Cream / oatmeal base. Horizontal jacquard bands of snowflake + diamond motifs across the instep in deep red, navy, charcoal, with peerie dot rows between. Toe and heel SOLID CREAM. Knitted in, NOT printed, NOT embroidered.</t>
        </is>
      </c>
      <c r="G11" s="35" t="inlineStr">
        <is>
          <t>The #1 winter knit pattern and the strongest gifting story for Nov-Dec.</t>
        </is>
      </c>
    </row>
    <row r="12" ht="66" customHeight="1">
      <c r="A12" s="16" t="n">
        <v>9</v>
      </c>
      <c r="B12" s="11" t="inlineStr">
        <is>
          <t>Forest Green</t>
        </is>
      </c>
      <c r="C12" s="43" t="inlineStr"/>
      <c r="D12" s="22" t="inlineStr">
        <is>
          <t>#2C4A3B</t>
        </is>
      </c>
      <c r="E12" s="20" t="inlineStr">
        <is>
          <t>Solid</t>
        </is>
      </c>
      <c r="F12" s="35" t="inlineStr">
        <is>
          <t>Deep dark blue-green pine forest green. CRITICAL: must NOT read olive, khaki, sage or army green - those are our two worst-selling colours ever.</t>
        </is>
      </c>
      <c r="G12" s="35" t="inlineStr">
        <is>
          <t>236 prs on Cloud Walk Classic. Jewel green is a top AW26 runway colour. Smallest bet of the nine.</t>
        </is>
      </c>
    </row>
    <row r="14">
      <c r="A14" s="44" t="inlineStr">
        <is>
          <t>PRODUCTION NOTES</t>
        </is>
      </c>
    </row>
    <row r="15">
      <c r="A15" s="45" t="inlineStr">
        <is>
          <t>1. Last, construction, sole unit, insole, sizing and packaging: unchanged from current production. Colour is the only variable.</t>
        </is>
      </c>
    </row>
    <row r="16">
      <c r="A16" s="45" t="inlineStr">
        <is>
          <t>2. Lab dips required on all solid colourways before bulk - 3 options each (target / lighter / darker).</t>
        </is>
      </c>
    </row>
    <row r="17">
      <c r="A17" s="45" t="inlineStr">
        <is>
          <t>3. Knitted strike-offs required on the 4 patterned colourways (Grey Camo, Heather Grey Marl, Buffalo Check, Nordic Fair Isle) before bulk. Patterns must be KNITTED IN, not printed and not embroidered.</t>
        </is>
      </c>
    </row>
    <row r="18">
      <c r="A18" s="45" t="inlineStr">
        <is>
          <t>4. HEX values are the visual target for the yarn dye. Pantone TCX to be confirmed on the approved lab dip.</t>
        </is>
      </c>
    </row>
    <row r="19">
      <c r="A19" s="45" t="inlineStr">
        <is>
          <t>5. Navy: please match the navy already running on our Cloud Walk Classic rather than creating a new shade.</t>
        </is>
      </c>
    </row>
    <row r="20">
      <c r="A20" s="45" t="inlineStr">
        <is>
          <t>6. Grey Camo must be STRICTLY greyscale and Forest Green must be a DEEP BLUE-GREEN. Any drift to olive / khaki / sage / army green will be rejected - those shades do not sell for us.</t>
        </is>
      </c>
    </row>
    <row r="21">
      <c r="A21" s="45" t="inlineStr">
        <is>
          <t>7. Colour fastness to rubbing and washing on the dark shades: no crocking onto light flooring or onto socks.</t>
        </is>
      </c>
    </row>
    <row r="22">
      <c r="A22" s="45" t="inlineStr">
        <is>
          <t>8. Delivery target: 1 October 2026. Please confirm what is achievable by that date and what would land later - we will split the order accordingly.</t>
        </is>
      </c>
    </row>
    <row r="23">
      <c r="A23" s="45" t="inlineStr">
        <is>
          <t>9. Please confirm: unit price per colourway, MOQ per colour and per size, lab dip / strike-off lead time, bulk lead time ex-works.</t>
        </is>
      </c>
    </row>
  </sheetData>
  <mergeCells count="10">
    <mergeCell ref="A14:G14"/>
    <mergeCell ref="A17:G17"/>
    <mergeCell ref="A18:G18"/>
    <mergeCell ref="A21:G21"/>
    <mergeCell ref="A22:G22"/>
    <mergeCell ref="A20:G20"/>
    <mergeCell ref="A16:G16"/>
    <mergeCell ref="A15:G15"/>
    <mergeCell ref="A19:G19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2026-09-13T11:43:47Z</dcterms:created>
  <dcterms:modified xsi:type="dcterms:W3CDTF">2026-09-13T11:43:47Z</dcterms:modified>
</cp:coreProperties>
</file>